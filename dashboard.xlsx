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BE5EFCEF-39F5-46A6-B6C4-3C4BA721F6F3}" xr6:coauthVersionLast="47" xr6:coauthVersionMax="47" xr10:uidLastSave="{00000000-0000-0000-0000-000000000000}"/>
  <bookViews>
    <workbookView xWindow="-108" yWindow="-108" windowWidth="23256" windowHeight="12456" tabRatio="500" activeTab="3" xr2:uid="{00000000-000D-0000-FFFF-FFFF00000000}"/>
  </bookViews>
  <sheets>
    <sheet name="Dashboard" sheetId="1" r:id="rId1"/>
    <sheet name="Grades" sheetId="2" r:id="rId2"/>
    <sheet name="Attendance" sheetId="3" r:id="rId3"/>
    <sheet name="Performance Chart" sheetId="7" r:id="rId4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6" i="2" l="1"/>
  <c r="F8" i="1"/>
  <c r="F9" i="1"/>
  <c r="F10" i="1"/>
  <c r="F11" i="1"/>
  <c r="F12" i="1"/>
  <c r="F13" i="1"/>
  <c r="F14" i="1"/>
  <c r="F15" i="1"/>
  <c r="F16" i="1"/>
  <c r="F17" i="1"/>
  <c r="F18" i="1"/>
  <c r="F7" i="1"/>
  <c r="E8" i="1"/>
  <c r="E9" i="1"/>
  <c r="E10" i="1"/>
  <c r="E11" i="1"/>
  <c r="E12" i="1"/>
  <c r="E13" i="1"/>
  <c r="E14" i="1"/>
  <c r="E15" i="1"/>
  <c r="E16" i="1"/>
  <c r="E17" i="1"/>
  <c r="E18" i="1"/>
  <c r="E7" i="1"/>
  <c r="F7" i="2"/>
  <c r="E16" i="3"/>
  <c r="E4" i="3"/>
  <c r="E5" i="3"/>
  <c r="E6" i="3"/>
  <c r="E7" i="3"/>
  <c r="E8" i="3"/>
  <c r="E9" i="3"/>
  <c r="G9" i="3" s="1"/>
  <c r="E10" i="3"/>
  <c r="G10" i="3" s="1"/>
  <c r="E11" i="3"/>
  <c r="G11" i="3" s="1"/>
  <c r="E12" i="3"/>
  <c r="E13" i="3"/>
  <c r="E14" i="3"/>
  <c r="G14" i="3" s="1"/>
  <c r="E3" i="3"/>
  <c r="F3" i="3" s="1"/>
  <c r="E4" i="2"/>
  <c r="E5" i="2"/>
  <c r="F5" i="2" s="1"/>
  <c r="E6" i="2"/>
  <c r="E7" i="2"/>
  <c r="E8" i="2"/>
  <c r="E9" i="2"/>
  <c r="F9" i="2" s="1"/>
  <c r="E10" i="2"/>
  <c r="E11" i="2"/>
  <c r="F11" i="2" s="1"/>
  <c r="E12" i="2"/>
  <c r="E13" i="2"/>
  <c r="F13" i="2" s="1"/>
  <c r="E14" i="2"/>
  <c r="E3" i="2"/>
  <c r="E15" i="2"/>
  <c r="G5" i="3"/>
  <c r="G6" i="3"/>
  <c r="G7" i="3"/>
  <c r="G13" i="3"/>
  <c r="D8" i="1"/>
  <c r="D9" i="1"/>
  <c r="D10" i="1"/>
  <c r="D11" i="1"/>
  <c r="D12" i="1"/>
  <c r="D13" i="1"/>
  <c r="D14" i="1"/>
  <c r="D15" i="1"/>
  <c r="D16" i="1"/>
  <c r="D17" i="1"/>
  <c r="D18" i="1"/>
  <c r="D7" i="1"/>
  <c r="C16" i="3"/>
  <c r="B16" i="3"/>
  <c r="D14" i="3"/>
  <c r="F13" i="3"/>
  <c r="D13" i="3"/>
  <c r="G12" i="3"/>
  <c r="F12" i="3"/>
  <c r="D12" i="3"/>
  <c r="D11" i="3"/>
  <c r="D10" i="3"/>
  <c r="F9" i="3"/>
  <c r="D9" i="3"/>
  <c r="G8" i="3"/>
  <c r="F8" i="3"/>
  <c r="D8" i="3"/>
  <c r="F7" i="3"/>
  <c r="D7" i="3"/>
  <c r="D6" i="3"/>
  <c r="F5" i="3"/>
  <c r="D5" i="3"/>
  <c r="G4" i="3"/>
  <c r="F4" i="3"/>
  <c r="D4" i="3"/>
  <c r="D3" i="3"/>
  <c r="C15" i="2"/>
  <c r="B15" i="2"/>
  <c r="H14" i="2"/>
  <c r="D14" i="2"/>
  <c r="D13" i="2"/>
  <c r="H12" i="2"/>
  <c r="D12" i="2"/>
  <c r="D11" i="2"/>
  <c r="H10" i="2"/>
  <c r="D10" i="2"/>
  <c r="D9" i="2"/>
  <c r="H8" i="2"/>
  <c r="D8" i="2"/>
  <c r="D7" i="2"/>
  <c r="H6" i="2"/>
  <c r="D6" i="2"/>
  <c r="D5" i="2"/>
  <c r="H4" i="2"/>
  <c r="D4" i="2"/>
  <c r="F3" i="2"/>
  <c r="D3" i="2"/>
  <c r="F14" i="3" l="1"/>
  <c r="G3" i="3"/>
  <c r="D16" i="3"/>
  <c r="F6" i="3"/>
  <c r="F11" i="3"/>
  <c r="F10" i="3"/>
  <c r="G3" i="2"/>
  <c r="G5" i="2"/>
  <c r="G7" i="2"/>
  <c r="G9" i="2"/>
  <c r="G11" i="2"/>
  <c r="G13" i="2"/>
  <c r="H3" i="2"/>
  <c r="F4" i="2"/>
  <c r="H5" i="2"/>
  <c r="H7" i="2"/>
  <c r="F8" i="2"/>
  <c r="H9" i="2"/>
  <c r="F10" i="2"/>
  <c r="H11" i="2"/>
  <c r="F12" i="2"/>
  <c r="H13" i="2"/>
  <c r="F14" i="2"/>
  <c r="G14" i="2" s="1"/>
  <c r="G6" i="2" l="1"/>
  <c r="G12" i="2"/>
  <c r="G8" i="2"/>
  <c r="G4" i="2"/>
  <c r="G10" i="2"/>
  <c r="G15" i="2" l="1"/>
</calcChain>
</file>

<file path=xl/sharedStrings.xml><?xml version="1.0" encoding="utf-8"?>
<sst xmlns="http://schemas.openxmlformats.org/spreadsheetml/2006/main" count="82" uniqueCount="48">
  <si>
    <t>Student Name:</t>
  </si>
  <si>
    <t>Attendance %</t>
  </si>
  <si>
    <t>Subject</t>
  </si>
  <si>
    <t>Max Marks</t>
  </si>
  <si>
    <t>Marks Obtained</t>
  </si>
  <si>
    <t>Percentage</t>
  </si>
  <si>
    <t>Grade</t>
  </si>
  <si>
    <t>Status</t>
  </si>
  <si>
    <t>Mathematics</t>
  </si>
  <si>
    <t>Physics</t>
  </si>
  <si>
    <t>Chemistry</t>
  </si>
  <si>
    <t>Biology</t>
  </si>
  <si>
    <t>English</t>
  </si>
  <si>
    <t>Computer Science</t>
  </si>
  <si>
    <t>Physical Education</t>
  </si>
  <si>
    <t>History</t>
  </si>
  <si>
    <t>Geography</t>
  </si>
  <si>
    <t>Economics</t>
  </si>
  <si>
    <t>Hindi</t>
  </si>
  <si>
    <t>Art</t>
  </si>
  <si>
    <t>Marks Lost</t>
  </si>
  <si>
    <t>Points</t>
  </si>
  <si>
    <t>Remarks</t>
  </si>
  <si>
    <t>TOTAL / AVERAGE</t>
  </si>
  <si>
    <t>Month</t>
  </si>
  <si>
    <t>Working Days</t>
  </si>
  <si>
    <t>Days Present</t>
  </si>
  <si>
    <t>Days Absent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</si>
  <si>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</si>
  <si>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</si>
  <si>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</si>
  <si>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</si>
  <si>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</si>
  <si>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</si>
  <si>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</si>
  <si>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</si>
  <si>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</si>
  <si>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</si>
  <si>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</si>
  <si>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</si>
  <si>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ANNUAL TOTAL</t>
  </si>
  <si>
    <t xml:space="preserve">                                    Subject Performance Summary</t>
  </si>
  <si>
    <t xml:space="preserve"> STUDENT ACADEMIC DASHBOARD</t>
  </si>
  <si>
    <t>OMKAR GHODAKE</t>
  </si>
  <si>
    <t>REG. NO :</t>
  </si>
  <si>
    <t xml:space="preserve">  SUBJECT-WISE MARKS &amp; GRADES</t>
  </si>
  <si>
    <t xml:space="preserve">  MONTHLY ATTENDANCE TRACKER</t>
  </si>
  <si>
    <t xml:space="preserve">  PERFORMANCE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</si>
</sst>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b/>
      <sz val="11"/>
      <color rgb="FF1F4E79"/>
      <name val="Arial"/>
      <charset val="1"/>
    </font>
    <font>
      <sz val="11"/>
      <name val="Arial"/>
      <charset val="1"/>
    </font>
    <font>
      <b/>
      <sz val="10"/>
      <color rgb="FFFFFFFF"/>
      <name val="Arial"/>
      <charset val="1"/>
    </font>
    <font>
      <b/>
      <sz val="20"/>
      <color rgb="FF2E75B6"/>
      <name val="Arial"/>
      <charset val="1"/>
    </font>
    <font>
      <b/>
      <sz val="20"/>
      <color rgb="FF375623"/>
      <name val="Arial"/>
      <charset val="1"/>
    </font>
    <font>
      <b/>
      <sz val="20"/>
      <color rgb="FF7030A0"/>
      <name val="Arial"/>
      <charset val="1"/>
    </font>
    <font>
      <b/>
      <sz val="20"/>
      <color rgb="FFC55A11"/>
      <name val="Arial"/>
      <charset val="1"/>
    </font>
    <font>
      <b/>
      <sz val="12"/>
      <color rgb="FFFFFFFF"/>
      <name val="Arial"/>
      <charset val="1"/>
    </font>
    <font>
      <sz val="10"/>
      <name val="Arial"/>
      <charset val="1"/>
    </font>
    <font>
      <b/>
      <sz val="14"/>
      <color rgb="FFFFFFFF"/>
      <name val="Arial"/>
      <charset val="1"/>
    </font>
    <font>
      <b/>
      <sz val="11"/>
      <color rgb="FFFFFFFF"/>
      <name val="Cambria"/>
      <charset val="1"/>
    </font>
    <font>
      <b/>
      <sz val="11"/>
      <name val="Cambria"/>
      <charset val="1"/>
    </font>
  </fonts>
  <fills count="1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4F81BD"/>
      </patternFill>
    </fill>
    <fill>
      <patternFill patternType="solid">
        <fgColor rgb="FF375623"/>
        <bgColor rgb="FF333300"/>
      </patternFill>
    </fill>
    <fill>
      <patternFill patternType="solid">
        <fgColor rgb="FF7030A0"/>
        <bgColor rgb="FF800080"/>
      </patternFill>
    </fill>
    <fill>
      <patternFill patternType="solid">
        <fgColor rgb="FFDEEAF1"/>
        <bgColor rgb="FFE2EFDA"/>
      </patternFill>
    </fill>
    <fill>
      <patternFill patternType="solid">
        <fgColor rgb="FFC6EFCE"/>
        <bgColor rgb="FFD9EAD3"/>
      </patternFill>
    </fill>
    <fill>
      <patternFill patternType="solid">
        <fgColor rgb="FFE2C8FF"/>
        <bgColor rgb="FFD9D9D9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rgb="FFDEEAF1"/>
      </patternFill>
    </fill>
    <fill>
      <patternFill patternType="solid">
        <fgColor theme="6" tint="0.79998168889431442"/>
        <bgColor rgb="FFD9EAD3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E2EFDA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13" fillId="7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13" fillId="8" borderId="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4" fontId="0" fillId="0" borderId="0" xfId="0" applyNumberFormat="1"/>
    <xf numFmtId="0" fontId="10" fillId="9" borderId="1" xfId="0" applyFont="1" applyFill="1" applyBorder="1" applyAlignment="1">
      <alignment horizontal="center"/>
    </xf>
    <xf numFmtId="0" fontId="10" fillId="10" borderId="1" xfId="0" applyFont="1" applyFill="1" applyBorder="1" applyAlignment="1">
      <alignment horizontal="center"/>
    </xf>
    <xf numFmtId="0" fontId="10" fillId="11" borderId="1" xfId="0" applyFont="1" applyFill="1" applyBorder="1" applyAlignment="1">
      <alignment horizontal="center"/>
    </xf>
    <xf numFmtId="0" fontId="10" fillId="12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11" borderId="2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0" fillId="13" borderId="1" xfId="0" applyFont="1" applyFill="1" applyBorder="1" applyAlignment="1">
      <alignment horizontal="center"/>
    </xf>
    <xf numFmtId="0" fontId="10" fillId="14" borderId="1" xfId="0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D9EAD3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D9D9D9"/>
      <rgbColor rgb="FF7030A0"/>
      <rgbColor rgb="FFFFF3CD"/>
      <rgbColor rgb="FFDEEAF1"/>
      <rgbColor rgb="FF660066"/>
      <rgbColor rgb="FFF3E6FF"/>
      <rgbColor rgb="FF0066CC"/>
      <rgbColor rgb="FFC9DAF8"/>
      <rgbColor rgb="FF000080"/>
      <rgbColor rgb="FFFF00FF"/>
      <rgbColor rgb="FFFFE0E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F2CC"/>
      <rgbColor rgb="FFCFE2F3"/>
      <rgbColor rgb="FFFFD7CC"/>
      <rgbColor rgb="FFE2C8FF"/>
      <rgbColor rgb="FFF4CCCC"/>
      <rgbColor rgb="FF2E75B6"/>
      <rgbColor rgb="FF33CCCC"/>
      <rgbColor rgb="FFF9F9F9"/>
      <rgbColor rgb="FFFCE4D6"/>
      <rgbColor rgb="FFFF9900"/>
      <rgbColor rgb="FFC55A11"/>
      <rgbColor rgb="FF666666"/>
      <rgbColor rgb="FF4F81BD"/>
      <rgbColor rgb="FF003366"/>
      <rgbColor rgb="FF00B050"/>
      <rgbColor rgb="FF003300"/>
      <rgbColor rgb="FF333300"/>
      <rgbColor rgb="FF993300"/>
      <rgbColor rgb="FFC0504D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Subject-wise Marks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'Performance Chart'!$B$2</c:f>
              <c:strCache>
                <c:ptCount val="1"/>
                <c:pt idx="0">
                  <c:v>Marks Obtained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'Performance Chart'!$A$3:$A$14</c:f>
              <c:strCache>
                <c:ptCount val="12"/>
                <c:pt idx="0">
                  <c:v>Mathematics</c:v>
                </c:pt>
                <c:pt idx="1">
                  <c:v>Physics</c:v>
                </c:pt>
                <c:pt idx="2">
                  <c:v>Chemistry</c:v>
                </c:pt>
                <c:pt idx="3">
                  <c:v>Biology</c:v>
                </c:pt>
                <c:pt idx="4">
                  <c:v>English</c:v>
                </c:pt>
                <c:pt idx="5">
                  <c:v>Computer Science</c:v>
                </c:pt>
                <c:pt idx="6">
                  <c:v>Physical Education</c:v>
                </c:pt>
                <c:pt idx="7">
                  <c:v>History</c:v>
                </c:pt>
                <c:pt idx="8">
                  <c:v>Geography</c:v>
                </c:pt>
                <c:pt idx="9">
                  <c:v>Economics</c:v>
                </c:pt>
                <c:pt idx="10">
                  <c:v>Hindi</c:v>
                </c:pt>
                <c:pt idx="11">
                  <c:v>Art</c:v>
                </c:pt>
              </c:strCache>
            </c:strRef>
          </c:cat>
          <c:val>
            <c:numRef>
              <c:f>'Performance Chart'!$B$3:$B$14</c:f>
              <c:numCache>
                <c:formatCode>General</c:formatCode>
                <c:ptCount val="12"/>
                <c:pt idx="0">
                  <c:v>90</c:v>
                </c:pt>
                <c:pt idx="1">
                  <c:v>78</c:v>
                </c:pt>
                <c:pt idx="2">
                  <c:v>75</c:v>
                </c:pt>
                <c:pt idx="3">
                  <c:v>65</c:v>
                </c:pt>
                <c:pt idx="4">
                  <c:v>76</c:v>
                </c:pt>
                <c:pt idx="5">
                  <c:v>54</c:v>
                </c:pt>
                <c:pt idx="6">
                  <c:v>78</c:v>
                </c:pt>
                <c:pt idx="7">
                  <c:v>68</c:v>
                </c:pt>
                <c:pt idx="8">
                  <c:v>74</c:v>
                </c:pt>
                <c:pt idx="9">
                  <c:v>79</c:v>
                </c:pt>
                <c:pt idx="10">
                  <c:v>83</c:v>
                </c:pt>
                <c:pt idx="11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41-4A27-973C-16F7DC0EE2F2}"/>
            </c:ext>
          </c:extLst>
        </c:ser>
        <c:ser>
          <c:idx val="1"/>
          <c:order val="1"/>
          <c:tx>
            <c:strRef>
              <c:f>'Performance Chart'!$C$2</c:f>
              <c:strCache>
                <c:ptCount val="1"/>
                <c:pt idx="0">
                  <c:v>Max Marks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'Performance Chart'!$A$3:$A$14</c:f>
              <c:strCache>
                <c:ptCount val="12"/>
                <c:pt idx="0">
                  <c:v>Mathematics</c:v>
                </c:pt>
                <c:pt idx="1">
                  <c:v>Physics</c:v>
                </c:pt>
                <c:pt idx="2">
                  <c:v>Chemistry</c:v>
                </c:pt>
                <c:pt idx="3">
                  <c:v>Biology</c:v>
                </c:pt>
                <c:pt idx="4">
                  <c:v>English</c:v>
                </c:pt>
                <c:pt idx="5">
                  <c:v>Computer Science</c:v>
                </c:pt>
                <c:pt idx="6">
                  <c:v>Physical Education</c:v>
                </c:pt>
                <c:pt idx="7">
                  <c:v>History</c:v>
                </c:pt>
                <c:pt idx="8">
                  <c:v>Geography</c:v>
                </c:pt>
                <c:pt idx="9">
                  <c:v>Economics</c:v>
                </c:pt>
                <c:pt idx="10">
                  <c:v>Hindi</c:v>
                </c:pt>
                <c:pt idx="11">
                  <c:v>Art</c:v>
                </c:pt>
              </c:strCache>
            </c:strRef>
          </c:cat>
          <c:val>
            <c:numRef>
              <c:f>'Performance Chart'!$C$3:$C$14</c:f>
              <c:numCache>
                <c:formatCode>General</c:formatCode>
                <c:ptCount val="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41-4A27-973C-16F7DC0EE2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354899"/>
        <c:axId val="72289633"/>
      </c:barChart>
      <c:catAx>
        <c:axId val="5735489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Subject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2289633"/>
        <c:crosses val="autoZero"/>
        <c:auto val="1"/>
        <c:lblAlgn val="ctr"/>
        <c:lblOffset val="100"/>
        <c:noMultiLvlLbl val="0"/>
      </c:catAx>
      <c:valAx>
        <c:axId val="722896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Marks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735489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251460</xdr:colOff>
      <xdr:row>3</xdr:row>
      <xdr:rowOff>7620</xdr:rowOff>
    </xdr:from>
    <xdr:to>
      <xdr:col>16</xdr:col>
      <xdr:colOff>167640</xdr:colOff>
      <xdr:row>23</xdr:row>
      <xdr:rowOff>159600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showGridLines="0" zoomScaleNormal="100" workbookViewId="0">
      <selection activeCell="F9" sqref="F9"/>
    </sheetView>
  </sheetViews>
  <sheetFormatPr defaultColWidth="8.6640625" defaultRowHeight="14.4" x14ac:dyDescent="0.3"/>
  <cols>
    <col min="1" max="1" width="22" customWidth="1"/>
    <col min="2" max="2" width="12" customWidth="1"/>
    <col min="3" max="3" width="15" customWidth="1"/>
    <col min="4" max="4" width="12" customWidth="1"/>
    <col min="5" max="5" width="8" customWidth="1"/>
    <col min="6" max="6" width="10" customWidth="1"/>
    <col min="7" max="7" width="5" customWidth="1"/>
    <col min="8" max="8" width="14" customWidth="1"/>
    <col min="9" max="9" width="5" customWidth="1"/>
    <col min="10" max="10" width="8" customWidth="1"/>
    <col min="11" max="11" width="9.5546875" bestFit="1" customWidth="1"/>
  </cols>
  <sheetData>
    <row r="1" spans="1:11" ht="39.75" customHeight="1" x14ac:dyDescent="0.3">
      <c r="A1" s="28" t="s">
        <v>42</v>
      </c>
      <c r="B1" s="28"/>
      <c r="C1" s="28"/>
      <c r="D1" s="28"/>
      <c r="E1" s="28"/>
      <c r="F1" s="28"/>
      <c r="G1" s="28"/>
      <c r="H1" s="28"/>
      <c r="I1" s="28"/>
      <c r="J1" s="28"/>
    </row>
    <row r="3" spans="1:11" x14ac:dyDescent="0.3">
      <c r="A3" s="1" t="s">
        <v>0</v>
      </c>
      <c r="B3" s="2" t="s">
        <v>43</v>
      </c>
      <c r="D3" s="12"/>
      <c r="F3" s="12"/>
      <c r="H3" s="12"/>
      <c r="J3" s="12"/>
    </row>
    <row r="4" spans="1:11" ht="34.5" customHeight="1" x14ac:dyDescent="0.3">
      <c r="A4" s="1" t="s">
        <v>44</v>
      </c>
      <c r="B4" s="2">
        <v>12304840</v>
      </c>
      <c r="D4" s="13"/>
      <c r="F4" s="14"/>
      <c r="H4" s="15"/>
      <c r="J4" s="16"/>
    </row>
    <row r="5" spans="1:11" ht="21.75" customHeight="1" x14ac:dyDescent="0.3">
      <c r="A5" s="29" t="s">
        <v>41</v>
      </c>
      <c r="B5" s="29"/>
      <c r="C5" s="29"/>
      <c r="D5" s="29"/>
      <c r="E5" s="29"/>
      <c r="F5" s="29"/>
      <c r="G5" s="29"/>
      <c r="H5" s="29"/>
      <c r="I5" s="29"/>
      <c r="J5" s="29"/>
    </row>
    <row r="6" spans="1:11" x14ac:dyDescent="0.3">
      <c r="A6" s="3" t="s">
        <v>2</v>
      </c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</row>
    <row r="7" spans="1:11" x14ac:dyDescent="0.3">
      <c r="A7" s="4" t="s">
        <v>8</v>
      </c>
      <c r="B7" s="4">
        <v>100</v>
      </c>
      <c r="C7" s="4">
        <v>71</v>
      </c>
      <c r="D7" s="4">
        <f>C7/B7*100</f>
        <v>71</v>
      </c>
      <c r="E7" s="4" t="str">
        <f>IF(D7&gt;=90,"A+",IF(D7&gt;=80,"A",IF(D7&gt;=70,"B+",IF(D7&gt;=60,"B",IF(D7&gt;=50,"C+",IF(D7&gt;=40,"C","F"))))))</f>
        <v>B+</v>
      </c>
      <c r="F7" s="4" t="str">
        <f>IF(C7&gt;=40,"Pass","Fail")</f>
        <v>Pass</v>
      </c>
    </row>
    <row r="8" spans="1:11" x14ac:dyDescent="0.3">
      <c r="A8" s="34" t="s">
        <v>9</v>
      </c>
      <c r="B8" s="34">
        <v>100</v>
      </c>
      <c r="C8" s="34">
        <v>82</v>
      </c>
      <c r="D8" s="33">
        <f t="shared" ref="D8:D18" si="0">C8/B8*100</f>
        <v>82</v>
      </c>
      <c r="E8" s="33" t="str">
        <f t="shared" ref="E8:E18" si="1">IF(D8&gt;=90,"A+",IF(D8&gt;=80,"A",IF(D8&gt;=70,"B+",IF(D8&gt;=60,"B",IF(D8&gt;=50,"C+",IF(D8&gt;=40,"C","F"))))))</f>
        <v>A</v>
      </c>
      <c r="F8" s="33" t="str">
        <f t="shared" ref="F8:F18" si="2">IF(C8&gt;=40,"Pass","Fail")</f>
        <v>Pass</v>
      </c>
    </row>
    <row r="9" spans="1:11" x14ac:dyDescent="0.3">
      <c r="A9" s="4" t="s">
        <v>10</v>
      </c>
      <c r="B9" s="4">
        <v>100</v>
      </c>
      <c r="C9" s="4">
        <v>85</v>
      </c>
      <c r="D9" s="4">
        <f t="shared" si="0"/>
        <v>85</v>
      </c>
      <c r="E9" s="4" t="str">
        <f t="shared" si="1"/>
        <v>A</v>
      </c>
      <c r="F9" s="35" t="str">
        <f t="shared" si="2"/>
        <v>Pass</v>
      </c>
    </row>
    <row r="10" spans="1:11" x14ac:dyDescent="0.3">
      <c r="A10" s="34" t="s">
        <v>11</v>
      </c>
      <c r="B10" s="34">
        <v>100</v>
      </c>
      <c r="C10" s="34">
        <v>78</v>
      </c>
      <c r="D10" s="33">
        <f t="shared" si="0"/>
        <v>78</v>
      </c>
      <c r="E10" s="33" t="str">
        <f t="shared" si="1"/>
        <v>B+</v>
      </c>
      <c r="F10" s="33" t="str">
        <f t="shared" si="2"/>
        <v>Pass</v>
      </c>
      <c r="K10" s="19"/>
    </row>
    <row r="11" spans="1:11" x14ac:dyDescent="0.3">
      <c r="A11" s="4" t="s">
        <v>12</v>
      </c>
      <c r="B11" s="4">
        <v>100</v>
      </c>
      <c r="C11" s="4">
        <v>64</v>
      </c>
      <c r="D11" s="4">
        <f t="shared" si="0"/>
        <v>64</v>
      </c>
      <c r="E11" s="4" t="str">
        <f t="shared" si="1"/>
        <v>B</v>
      </c>
      <c r="F11" s="4" t="str">
        <f t="shared" si="2"/>
        <v>Pass</v>
      </c>
      <c r="K11" s="19"/>
    </row>
    <row r="12" spans="1:11" x14ac:dyDescent="0.3">
      <c r="A12" s="34" t="s">
        <v>13</v>
      </c>
      <c r="B12" s="34">
        <v>100</v>
      </c>
      <c r="C12" s="34">
        <v>89</v>
      </c>
      <c r="D12" s="33">
        <f t="shared" si="0"/>
        <v>89</v>
      </c>
      <c r="E12" s="33" t="str">
        <f t="shared" si="1"/>
        <v>A</v>
      </c>
      <c r="F12" s="33" t="str">
        <f t="shared" si="2"/>
        <v>Pass</v>
      </c>
      <c r="K12" s="19"/>
    </row>
    <row r="13" spans="1:11" x14ac:dyDescent="0.3">
      <c r="A13" s="4" t="s">
        <v>14</v>
      </c>
      <c r="B13" s="4">
        <v>100</v>
      </c>
      <c r="C13" s="4">
        <v>75</v>
      </c>
      <c r="D13" s="4">
        <f t="shared" si="0"/>
        <v>75</v>
      </c>
      <c r="E13" s="4" t="str">
        <f t="shared" si="1"/>
        <v>B+</v>
      </c>
      <c r="F13" s="4" t="str">
        <f t="shared" si="2"/>
        <v>Pass</v>
      </c>
      <c r="K13" s="19"/>
    </row>
    <row r="14" spans="1:11" x14ac:dyDescent="0.3">
      <c r="A14" s="34" t="s">
        <v>15</v>
      </c>
      <c r="B14" s="34">
        <v>100</v>
      </c>
      <c r="C14" s="34">
        <v>78</v>
      </c>
      <c r="D14" s="33">
        <f t="shared" si="0"/>
        <v>78</v>
      </c>
      <c r="E14" s="33" t="str">
        <f t="shared" si="1"/>
        <v>B+</v>
      </c>
      <c r="F14" s="33" t="str">
        <f t="shared" si="2"/>
        <v>Pass</v>
      </c>
      <c r="K14" s="19"/>
    </row>
    <row r="15" spans="1:11" x14ac:dyDescent="0.3">
      <c r="A15" s="4" t="s">
        <v>16</v>
      </c>
      <c r="B15" s="4">
        <v>100</v>
      </c>
      <c r="C15" s="4">
        <v>45</v>
      </c>
      <c r="D15" s="4">
        <f t="shared" si="0"/>
        <v>45</v>
      </c>
      <c r="E15" s="4" t="str">
        <f t="shared" si="1"/>
        <v>C</v>
      </c>
      <c r="F15" s="4" t="str">
        <f t="shared" si="2"/>
        <v>Pass</v>
      </c>
      <c r="K15" s="19"/>
    </row>
    <row r="16" spans="1:11" x14ac:dyDescent="0.3">
      <c r="A16" s="34" t="s">
        <v>17</v>
      </c>
      <c r="B16" s="34">
        <v>100</v>
      </c>
      <c r="C16" s="34">
        <v>65</v>
      </c>
      <c r="D16" s="33">
        <f t="shared" si="0"/>
        <v>65</v>
      </c>
      <c r="E16" s="33" t="str">
        <f t="shared" si="1"/>
        <v>B</v>
      </c>
      <c r="F16" s="33" t="str">
        <f t="shared" si="2"/>
        <v>Pass</v>
      </c>
      <c r="K16" s="19"/>
    </row>
    <row r="17" spans="1:11" x14ac:dyDescent="0.3">
      <c r="A17" s="4" t="s">
        <v>18</v>
      </c>
      <c r="B17" s="4">
        <v>100</v>
      </c>
      <c r="C17" s="4">
        <v>62</v>
      </c>
      <c r="D17" s="4">
        <f t="shared" si="0"/>
        <v>62</v>
      </c>
      <c r="E17" s="4" t="str">
        <f t="shared" si="1"/>
        <v>B</v>
      </c>
      <c r="F17" s="4" t="str">
        <f t="shared" si="2"/>
        <v>Pass</v>
      </c>
      <c r="K17" s="19"/>
    </row>
    <row r="18" spans="1:11" x14ac:dyDescent="0.3">
      <c r="A18" s="34" t="s">
        <v>19</v>
      </c>
      <c r="B18" s="34">
        <v>100</v>
      </c>
      <c r="C18" s="34">
        <v>84</v>
      </c>
      <c r="D18" s="33">
        <f t="shared" si="0"/>
        <v>84</v>
      </c>
      <c r="E18" s="33" t="str">
        <f t="shared" si="1"/>
        <v>A</v>
      </c>
      <c r="F18" s="33" t="str">
        <f t="shared" si="2"/>
        <v>Pass</v>
      </c>
      <c r="K18" s="19"/>
    </row>
  </sheetData>
  <mergeCells count="2">
    <mergeCell ref="A1:J1"/>
    <mergeCell ref="A5:J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5"/>
  <sheetViews>
    <sheetView showGridLines="0" zoomScaleNormal="100" workbookViewId="0">
      <selection activeCell="E15" sqref="E15"/>
    </sheetView>
  </sheetViews>
  <sheetFormatPr defaultColWidth="8.6640625" defaultRowHeight="14.4" x14ac:dyDescent="0.3"/>
  <cols>
    <col min="1" max="1" width="22" customWidth="1"/>
    <col min="2" max="2" width="10" customWidth="1"/>
    <col min="3" max="3" width="14" customWidth="1"/>
    <col min="4" max="4" width="10" customWidth="1"/>
    <col min="5" max="5" width="11" customWidth="1"/>
    <col min="6" max="6" width="7" customWidth="1"/>
    <col min="7" max="7" width="8" customWidth="1"/>
    <col min="8" max="8" width="20" customWidth="1"/>
    <col min="9" max="9" width="10" customWidth="1"/>
    <col min="10" max="10" width="6" customWidth="1"/>
  </cols>
  <sheetData>
    <row r="1" spans="1:10" ht="31.5" customHeight="1" x14ac:dyDescent="0.3">
      <c r="A1" s="30" t="s">
        <v>45</v>
      </c>
      <c r="B1" s="30"/>
      <c r="C1" s="30"/>
      <c r="D1" s="30"/>
      <c r="E1" s="30"/>
      <c r="F1" s="30"/>
      <c r="G1" s="30"/>
      <c r="H1" s="30"/>
      <c r="I1" s="30"/>
      <c r="J1" s="30"/>
    </row>
    <row r="2" spans="1:10" x14ac:dyDescent="0.3">
      <c r="A2" s="5" t="s">
        <v>2</v>
      </c>
      <c r="B2" s="5" t="s">
        <v>3</v>
      </c>
      <c r="C2" s="5" t="s">
        <v>4</v>
      </c>
      <c r="D2" s="5" t="s">
        <v>20</v>
      </c>
      <c r="E2" s="5" t="s">
        <v>5</v>
      </c>
      <c r="F2" s="5" t="s">
        <v>6</v>
      </c>
      <c r="G2" s="5" t="s">
        <v>21</v>
      </c>
      <c r="H2" s="24" t="s">
        <v>22</v>
      </c>
      <c r="I2" s="17"/>
      <c r="J2" s="27"/>
    </row>
    <row r="3" spans="1:10" x14ac:dyDescent="0.3">
      <c r="A3" s="4" t="s">
        <v>8</v>
      </c>
      <c r="B3" s="4">
        <v>100</v>
      </c>
      <c r="C3" s="4">
        <v>82</v>
      </c>
      <c r="D3" s="4">
        <f t="shared" ref="D3:D14" si="0">B3-C3</f>
        <v>18</v>
      </c>
      <c r="E3" s="4">
        <f>(C3/B3*100)</f>
        <v>82</v>
      </c>
      <c r="F3" s="4" t="str">
        <f t="shared" ref="F3:F14" si="1">IF(E3&gt;=90,"A+",IF(E3&gt;=80,"A",IF(E3&gt;=70,"B+",IF(E3&gt;=60,"B",IF(E3&gt;=50,"C+",IF(E3&gt;=40,"C","F"))))))</f>
        <v>A</v>
      </c>
      <c r="G3" s="4">
        <f t="shared" ref="G3:G14" si="2">IF(F3="A+",10,IF(F3="A",9,IF(F3="B+",8,IF(F3="B",7,IF(F3="C+",6,IF(F3="C",5,0))))))</f>
        <v>9</v>
      </c>
      <c r="H3" s="25" t="str">
        <f t="shared" ref="H3:H14" si="3">IF(E3&gt;=85,"Excellent",IF(E3&gt;=70,"Good",IF(E3&gt;=55,"Average","Needs Improvement")))</f>
        <v>Good</v>
      </c>
      <c r="I3" s="18"/>
      <c r="J3" s="18"/>
    </row>
    <row r="4" spans="1:10" x14ac:dyDescent="0.3">
      <c r="A4" s="22" t="s">
        <v>9</v>
      </c>
      <c r="B4" s="22">
        <v>100</v>
      </c>
      <c r="C4" s="22">
        <v>76</v>
      </c>
      <c r="D4" s="22">
        <f t="shared" si="0"/>
        <v>24</v>
      </c>
      <c r="E4" s="23">
        <f t="shared" ref="E4:E14" si="4">(C4/B4*100)</f>
        <v>76</v>
      </c>
      <c r="F4" s="22" t="str">
        <f t="shared" si="1"/>
        <v>B+</v>
      </c>
      <c r="G4" s="22">
        <f t="shared" si="2"/>
        <v>8</v>
      </c>
      <c r="H4" s="26" t="str">
        <f t="shared" si="3"/>
        <v>Good</v>
      </c>
      <c r="I4" s="18"/>
      <c r="J4" s="18"/>
    </row>
    <row r="5" spans="1:10" x14ac:dyDescent="0.3">
      <c r="A5" s="4" t="s">
        <v>10</v>
      </c>
      <c r="B5" s="4">
        <v>100</v>
      </c>
      <c r="C5" s="4">
        <v>88</v>
      </c>
      <c r="D5" s="4">
        <f t="shared" si="0"/>
        <v>12</v>
      </c>
      <c r="E5" s="4">
        <f t="shared" si="4"/>
        <v>88</v>
      </c>
      <c r="F5" s="4" t="str">
        <f t="shared" si="1"/>
        <v>A</v>
      </c>
      <c r="G5" s="4">
        <f t="shared" si="2"/>
        <v>9</v>
      </c>
      <c r="H5" s="25" t="str">
        <f t="shared" si="3"/>
        <v>Excellent</v>
      </c>
      <c r="I5" s="18"/>
      <c r="J5" s="18"/>
    </row>
    <row r="6" spans="1:10" x14ac:dyDescent="0.3">
      <c r="A6" s="22" t="s">
        <v>11</v>
      </c>
      <c r="B6" s="22">
        <v>100</v>
      </c>
      <c r="C6" s="22">
        <v>71</v>
      </c>
      <c r="D6" s="22">
        <f t="shared" si="0"/>
        <v>29</v>
      </c>
      <c r="E6" s="23">
        <f t="shared" si="4"/>
        <v>71</v>
      </c>
      <c r="F6" s="23" t="str">
        <f t="shared" si="1"/>
        <v>B+</v>
      </c>
      <c r="G6" s="22">
        <f t="shared" si="2"/>
        <v>8</v>
      </c>
      <c r="H6" s="26" t="str">
        <f t="shared" si="3"/>
        <v>Good</v>
      </c>
      <c r="I6" s="18"/>
      <c r="J6" s="18"/>
    </row>
    <row r="7" spans="1:10" x14ac:dyDescent="0.3">
      <c r="A7" s="4" t="s">
        <v>12</v>
      </c>
      <c r="B7" s="4">
        <v>100</v>
      </c>
      <c r="C7" s="4">
        <v>90</v>
      </c>
      <c r="D7" s="4">
        <f t="shared" si="0"/>
        <v>10</v>
      </c>
      <c r="E7" s="4">
        <f t="shared" si="4"/>
        <v>90</v>
      </c>
      <c r="F7" s="4" t="str">
        <f>IF(E7&gt;=90,"A+",IF(E7&gt;=80,"A",IF(E7&gt;=70,"B+",IF(E7&gt;=60,"B",IF(E7&gt;=50,"C+",IF(E7&gt;=40,"C","F"))))))</f>
        <v>A+</v>
      </c>
      <c r="G7" s="4">
        <f t="shared" si="2"/>
        <v>10</v>
      </c>
      <c r="H7" s="25" t="str">
        <f t="shared" si="3"/>
        <v>Excellent</v>
      </c>
      <c r="I7" s="18"/>
      <c r="J7" s="18"/>
    </row>
    <row r="8" spans="1:10" x14ac:dyDescent="0.3">
      <c r="A8" s="22" t="s">
        <v>13</v>
      </c>
      <c r="B8" s="22">
        <v>100</v>
      </c>
      <c r="C8" s="22">
        <v>95</v>
      </c>
      <c r="D8" s="22">
        <f t="shared" si="0"/>
        <v>5</v>
      </c>
      <c r="E8" s="23">
        <f t="shared" si="4"/>
        <v>95</v>
      </c>
      <c r="F8" s="22" t="str">
        <f t="shared" si="1"/>
        <v>A+</v>
      </c>
      <c r="G8" s="22">
        <f t="shared" si="2"/>
        <v>10</v>
      </c>
      <c r="H8" s="26" t="str">
        <f t="shared" si="3"/>
        <v>Excellent</v>
      </c>
      <c r="I8" s="18"/>
      <c r="J8" s="18"/>
    </row>
    <row r="9" spans="1:10" x14ac:dyDescent="0.3">
      <c r="A9" s="4" t="s">
        <v>14</v>
      </c>
      <c r="B9" s="4">
        <v>100</v>
      </c>
      <c r="C9" s="4">
        <v>85</v>
      </c>
      <c r="D9" s="4">
        <f t="shared" si="0"/>
        <v>15</v>
      </c>
      <c r="E9" s="4">
        <f t="shared" si="4"/>
        <v>85</v>
      </c>
      <c r="F9" s="4" t="str">
        <f t="shared" si="1"/>
        <v>A</v>
      </c>
      <c r="G9" s="4">
        <f t="shared" si="2"/>
        <v>9</v>
      </c>
      <c r="H9" s="25" t="str">
        <f t="shared" si="3"/>
        <v>Excellent</v>
      </c>
      <c r="I9" s="18"/>
      <c r="J9" s="18"/>
    </row>
    <row r="10" spans="1:10" x14ac:dyDescent="0.3">
      <c r="A10" s="22" t="s">
        <v>15</v>
      </c>
      <c r="B10" s="22">
        <v>100</v>
      </c>
      <c r="C10" s="22">
        <v>68</v>
      </c>
      <c r="D10" s="22">
        <f t="shared" si="0"/>
        <v>32</v>
      </c>
      <c r="E10" s="23">
        <f t="shared" si="4"/>
        <v>68</v>
      </c>
      <c r="F10" s="22" t="str">
        <f t="shared" si="1"/>
        <v>B</v>
      </c>
      <c r="G10" s="22">
        <f t="shared" si="2"/>
        <v>7</v>
      </c>
      <c r="H10" s="26" t="str">
        <f t="shared" si="3"/>
        <v>Average</v>
      </c>
      <c r="I10" s="18"/>
      <c r="J10" s="18"/>
    </row>
    <row r="11" spans="1:10" x14ac:dyDescent="0.3">
      <c r="A11" s="4" t="s">
        <v>16</v>
      </c>
      <c r="B11" s="4">
        <v>100</v>
      </c>
      <c r="C11" s="4">
        <v>74</v>
      </c>
      <c r="D11" s="4">
        <f t="shared" si="0"/>
        <v>26</v>
      </c>
      <c r="E11" s="4">
        <f t="shared" si="4"/>
        <v>74</v>
      </c>
      <c r="F11" s="4" t="str">
        <f t="shared" si="1"/>
        <v>B+</v>
      </c>
      <c r="G11" s="4">
        <f t="shared" si="2"/>
        <v>8</v>
      </c>
      <c r="H11" s="25" t="str">
        <f t="shared" si="3"/>
        <v>Good</v>
      </c>
      <c r="I11" s="18"/>
      <c r="J11" s="18"/>
    </row>
    <row r="12" spans="1:10" x14ac:dyDescent="0.3">
      <c r="A12" s="22" t="s">
        <v>17</v>
      </c>
      <c r="B12" s="22">
        <v>100</v>
      </c>
      <c r="C12" s="22">
        <v>79</v>
      </c>
      <c r="D12" s="22">
        <f t="shared" si="0"/>
        <v>21</v>
      </c>
      <c r="E12" s="23">
        <f t="shared" si="4"/>
        <v>79</v>
      </c>
      <c r="F12" s="22" t="str">
        <f t="shared" si="1"/>
        <v>B+</v>
      </c>
      <c r="G12" s="22">
        <f t="shared" si="2"/>
        <v>8</v>
      </c>
      <c r="H12" s="26" t="str">
        <f t="shared" si="3"/>
        <v>Good</v>
      </c>
      <c r="I12" s="18"/>
      <c r="J12" s="18"/>
    </row>
    <row r="13" spans="1:10" x14ac:dyDescent="0.3">
      <c r="A13" s="4" t="s">
        <v>18</v>
      </c>
      <c r="B13" s="4">
        <v>100</v>
      </c>
      <c r="C13" s="4">
        <v>83</v>
      </c>
      <c r="D13" s="4">
        <f t="shared" si="0"/>
        <v>17</v>
      </c>
      <c r="E13" s="4">
        <f t="shared" si="4"/>
        <v>83</v>
      </c>
      <c r="F13" s="4" t="str">
        <f t="shared" si="1"/>
        <v>A</v>
      </c>
      <c r="G13" s="4">
        <f t="shared" si="2"/>
        <v>9</v>
      </c>
      <c r="H13" s="25" t="str">
        <f t="shared" si="3"/>
        <v>Good</v>
      </c>
      <c r="I13" s="18"/>
      <c r="J13" s="18"/>
    </row>
    <row r="14" spans="1:10" x14ac:dyDescent="0.3">
      <c r="A14" s="22" t="s">
        <v>19</v>
      </c>
      <c r="B14" s="22">
        <v>100</v>
      </c>
      <c r="C14" s="22">
        <v>72</v>
      </c>
      <c r="D14" s="22">
        <f t="shared" si="0"/>
        <v>28</v>
      </c>
      <c r="E14" s="23">
        <f t="shared" si="4"/>
        <v>72</v>
      </c>
      <c r="F14" s="22" t="str">
        <f t="shared" si="1"/>
        <v>B+</v>
      </c>
      <c r="G14" s="22">
        <f t="shared" si="2"/>
        <v>8</v>
      </c>
      <c r="H14" s="26" t="str">
        <f t="shared" si="3"/>
        <v>Good</v>
      </c>
      <c r="I14" s="18"/>
      <c r="J14" s="18"/>
    </row>
    <row r="15" spans="1:10" x14ac:dyDescent="0.3">
      <c r="A15" s="6" t="s">
        <v>23</v>
      </c>
      <c r="B15" s="6">
        <f>SUM(B3:B14)</f>
        <v>1200</v>
      </c>
      <c r="C15" s="6">
        <f>SUM(C3:C14)</f>
        <v>963</v>
      </c>
      <c r="E15" s="6">
        <f>(C15/B15*100)</f>
        <v>80.25</v>
      </c>
      <c r="G15" s="6">
        <f>ROUND(AVERAGE(G3:G14),2)</f>
        <v>8.58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"/>
  <sheetViews>
    <sheetView showGridLines="0" zoomScaleNormal="100" workbookViewId="0">
      <selection activeCell="G9" sqref="G9"/>
    </sheetView>
  </sheetViews>
  <sheetFormatPr defaultColWidth="8.6640625" defaultRowHeight="14.4" x14ac:dyDescent="0.3"/>
  <cols>
    <col min="1" max="1" width="14" customWidth="1"/>
    <col min="2" max="3" width="13" customWidth="1"/>
    <col min="4" max="4" width="12" customWidth="1"/>
    <col min="5" max="5" width="14" customWidth="1"/>
    <col min="6" max="6" width="12" customWidth="1"/>
    <col min="7" max="7" width="20" customWidth="1"/>
  </cols>
  <sheetData>
    <row r="1" spans="1:7" ht="31.5" customHeight="1" x14ac:dyDescent="0.3">
      <c r="A1" s="31" t="s">
        <v>46</v>
      </c>
      <c r="B1" s="31"/>
      <c r="C1" s="31"/>
      <c r="D1" s="31"/>
      <c r="E1" s="31"/>
      <c r="F1" s="31"/>
      <c r="G1" s="31"/>
    </row>
    <row r="2" spans="1:7" x14ac:dyDescent="0.3">
      <c r="A2" s="7" t="s">
        <v>24</v>
      </c>
      <c r="B2" s="7" t="s">
        <v>25</v>
      </c>
      <c r="C2" s="7" t="s">
        <v>26</v>
      </c>
      <c r="D2" s="7" t="s">
        <v>27</v>
      </c>
      <c r="E2" s="7" t="s">
        <v>1</v>
      </c>
      <c r="F2" s="7" t="s">
        <v>7</v>
      </c>
      <c r="G2" s="7" t="s">
        <v>22</v>
      </c>
    </row>
    <row r="3" spans="1:7" x14ac:dyDescent="0.3">
      <c r="A3" s="4" t="s">
        <v>28</v>
      </c>
      <c r="B3" s="4">
        <v>26</v>
      </c>
      <c r="C3" s="4">
        <v>25</v>
      </c>
      <c r="D3" s="4">
        <f t="shared" ref="D3:D14" si="0">B3-C3</f>
        <v>1</v>
      </c>
      <c r="E3" s="4">
        <f>(C3/B3*100)</f>
        <v>96.15384615384616</v>
      </c>
      <c r="F3" s="4" t="str">
        <f t="shared" ref="F3:F14" si="1">IF(E3&gt;=75,"Regular","Shortage")</f>
        <v>Regular</v>
      </c>
      <c r="G3" s="4" t="str">
        <f t="shared" ref="G3:G14" si="2">IF(E3&gt;=90,"Excellent",IF(E3&gt;=75,"Good","Below Requirement"))</f>
        <v>Excellent</v>
      </c>
    </row>
    <row r="4" spans="1:7" x14ac:dyDescent="0.3">
      <c r="A4" s="21" t="s">
        <v>29</v>
      </c>
      <c r="B4" s="21">
        <v>24</v>
      </c>
      <c r="C4" s="21">
        <v>22</v>
      </c>
      <c r="D4" s="21">
        <f t="shared" si="0"/>
        <v>2</v>
      </c>
      <c r="E4" s="20">
        <f t="shared" ref="E4:E14" si="3">(C4/B4*100)</f>
        <v>91.666666666666657</v>
      </c>
      <c r="F4" s="21" t="str">
        <f t="shared" si="1"/>
        <v>Regular</v>
      </c>
      <c r="G4" s="21" t="str">
        <f t="shared" si="2"/>
        <v>Excellent</v>
      </c>
    </row>
    <row r="5" spans="1:7" x14ac:dyDescent="0.3">
      <c r="A5" s="4" t="s">
        <v>30</v>
      </c>
      <c r="B5" s="4">
        <v>22</v>
      </c>
      <c r="C5" s="4">
        <v>20</v>
      </c>
      <c r="D5" s="4">
        <f t="shared" si="0"/>
        <v>2</v>
      </c>
      <c r="E5" s="4">
        <f t="shared" si="3"/>
        <v>90.909090909090907</v>
      </c>
      <c r="F5" s="4" t="str">
        <f t="shared" si="1"/>
        <v>Regular</v>
      </c>
      <c r="G5" s="4" t="str">
        <f t="shared" si="2"/>
        <v>Excellent</v>
      </c>
    </row>
    <row r="6" spans="1:7" x14ac:dyDescent="0.3">
      <c r="A6" s="21" t="s">
        <v>31</v>
      </c>
      <c r="B6" s="21">
        <v>26</v>
      </c>
      <c r="C6" s="21">
        <v>26</v>
      </c>
      <c r="D6" s="21">
        <f t="shared" si="0"/>
        <v>0</v>
      </c>
      <c r="E6" s="20">
        <f t="shared" si="3"/>
        <v>100</v>
      </c>
      <c r="F6" s="21" t="str">
        <f t="shared" si="1"/>
        <v>Regular</v>
      </c>
      <c r="G6" s="21" t="str">
        <f t="shared" si="2"/>
        <v>Excellent</v>
      </c>
    </row>
    <row r="7" spans="1:7" x14ac:dyDescent="0.3">
      <c r="A7" s="4" t="s">
        <v>32</v>
      </c>
      <c r="B7" s="4">
        <v>25</v>
      </c>
      <c r="C7" s="4">
        <v>23</v>
      </c>
      <c r="D7" s="4">
        <f t="shared" si="0"/>
        <v>2</v>
      </c>
      <c r="E7" s="4">
        <f t="shared" si="3"/>
        <v>92</v>
      </c>
      <c r="F7" s="4" t="str">
        <f t="shared" si="1"/>
        <v>Regular</v>
      </c>
      <c r="G7" s="4" t="str">
        <f t="shared" si="2"/>
        <v>Excellent</v>
      </c>
    </row>
    <row r="8" spans="1:7" x14ac:dyDescent="0.3">
      <c r="A8" s="21" t="s">
        <v>33</v>
      </c>
      <c r="B8" s="21">
        <v>24</v>
      </c>
      <c r="C8" s="21">
        <v>24</v>
      </c>
      <c r="D8" s="21">
        <f t="shared" si="0"/>
        <v>0</v>
      </c>
      <c r="E8" s="20">
        <f t="shared" si="3"/>
        <v>100</v>
      </c>
      <c r="F8" s="21" t="str">
        <f t="shared" si="1"/>
        <v>Regular</v>
      </c>
      <c r="G8" s="21" t="str">
        <f t="shared" si="2"/>
        <v>Excellent</v>
      </c>
    </row>
    <row r="9" spans="1:7" x14ac:dyDescent="0.3">
      <c r="A9" s="4" t="s">
        <v>34</v>
      </c>
      <c r="B9" s="4">
        <v>26</v>
      </c>
      <c r="C9" s="4">
        <v>25</v>
      </c>
      <c r="D9" s="4">
        <f t="shared" si="0"/>
        <v>1</v>
      </c>
      <c r="E9" s="4">
        <f t="shared" si="3"/>
        <v>96.15384615384616</v>
      </c>
      <c r="F9" s="4" t="str">
        <f t="shared" si="1"/>
        <v>Regular</v>
      </c>
      <c r="G9" s="4" t="str">
        <f t="shared" si="2"/>
        <v>Excellent</v>
      </c>
    </row>
    <row r="10" spans="1:7" x14ac:dyDescent="0.3">
      <c r="A10" s="21" t="s">
        <v>35</v>
      </c>
      <c r="B10" s="21">
        <v>22</v>
      </c>
      <c r="C10" s="21">
        <v>21</v>
      </c>
      <c r="D10" s="21">
        <f t="shared" si="0"/>
        <v>1</v>
      </c>
      <c r="E10" s="20">
        <f t="shared" si="3"/>
        <v>95.454545454545453</v>
      </c>
      <c r="F10" s="21" t="str">
        <f t="shared" si="1"/>
        <v>Regular</v>
      </c>
      <c r="G10" s="21" t="str">
        <f t="shared" si="2"/>
        <v>Excellent</v>
      </c>
    </row>
    <row r="11" spans="1:7" x14ac:dyDescent="0.3">
      <c r="A11" s="4" t="s">
        <v>36</v>
      </c>
      <c r="B11" s="4">
        <v>20</v>
      </c>
      <c r="C11" s="4">
        <v>18</v>
      </c>
      <c r="D11" s="4">
        <f t="shared" si="0"/>
        <v>2</v>
      </c>
      <c r="E11" s="4">
        <f t="shared" si="3"/>
        <v>90</v>
      </c>
      <c r="F11" s="4" t="str">
        <f t="shared" si="1"/>
        <v>Regular</v>
      </c>
      <c r="G11" s="4" t="str">
        <f t="shared" si="2"/>
        <v>Excellent</v>
      </c>
    </row>
    <row r="12" spans="1:7" x14ac:dyDescent="0.3">
      <c r="A12" s="21" t="s">
        <v>37</v>
      </c>
      <c r="B12" s="21">
        <v>25</v>
      </c>
      <c r="C12" s="21">
        <v>25</v>
      </c>
      <c r="D12" s="21">
        <f t="shared" si="0"/>
        <v>0</v>
      </c>
      <c r="E12" s="20">
        <f t="shared" si="3"/>
        <v>100</v>
      </c>
      <c r="F12" s="21" t="str">
        <f t="shared" si="1"/>
        <v>Regular</v>
      </c>
      <c r="G12" s="21" t="str">
        <f t="shared" si="2"/>
        <v>Excellent</v>
      </c>
    </row>
    <row r="13" spans="1:7" x14ac:dyDescent="0.3">
      <c r="A13" s="4" t="s">
        <v>38</v>
      </c>
      <c r="B13" s="4">
        <v>22</v>
      </c>
      <c r="C13" s="4">
        <v>20</v>
      </c>
      <c r="D13" s="4">
        <f t="shared" si="0"/>
        <v>2</v>
      </c>
      <c r="E13" s="4">
        <f t="shared" si="3"/>
        <v>90.909090909090907</v>
      </c>
      <c r="F13" s="4" t="str">
        <f t="shared" si="1"/>
        <v>Regular</v>
      </c>
      <c r="G13" s="4" t="str">
        <f t="shared" si="2"/>
        <v>Excellent</v>
      </c>
    </row>
    <row r="14" spans="1:7" x14ac:dyDescent="0.3">
      <c r="A14" s="21" t="s">
        <v>39</v>
      </c>
      <c r="B14" s="21">
        <v>26</v>
      </c>
      <c r="C14" s="21">
        <v>24</v>
      </c>
      <c r="D14" s="21">
        <f t="shared" si="0"/>
        <v>2</v>
      </c>
      <c r="E14" s="20">
        <f t="shared" si="3"/>
        <v>92.307692307692307</v>
      </c>
      <c r="F14" s="21" t="str">
        <f t="shared" si="1"/>
        <v>Regular</v>
      </c>
      <c r="G14" s="21" t="str">
        <f t="shared" si="2"/>
        <v>Excellent</v>
      </c>
    </row>
    <row r="16" spans="1:7" x14ac:dyDescent="0.3">
      <c r="A16" s="8" t="s">
        <v>40</v>
      </c>
      <c r="B16" s="8">
        <f>SUM(B3:B15)</f>
        <v>288</v>
      </c>
      <c r="C16" s="8">
        <f>SUM(C3:C15)</f>
        <v>273</v>
      </c>
      <c r="D16" s="8">
        <f>SUM(D3:D15)</f>
        <v>15</v>
      </c>
      <c r="E16" s="8">
        <f>(C16/B16*100)</f>
        <v>94.791666666666657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4"/>
  <sheetViews>
    <sheetView showGridLines="0" tabSelected="1" zoomScaleNormal="100" workbookViewId="0">
      <selection activeCell="B24" sqref="B24"/>
    </sheetView>
  </sheetViews>
  <sheetFormatPr defaultColWidth="8.6640625" defaultRowHeight="14.4" x14ac:dyDescent="0.3"/>
  <cols>
    <col min="1" max="1" width="22" customWidth="1"/>
    <col min="2" max="2" width="14" customWidth="1"/>
    <col min="3" max="3" width="12" customWidth="1"/>
  </cols>
  <sheetData>
    <row r="1" spans="1:12" ht="17.399999999999999" x14ac:dyDescent="0.3">
      <c r="A1" s="32" t="s">
        <v>47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</row>
    <row r="2" spans="1:12" x14ac:dyDescent="0.3">
      <c r="A2" s="9" t="s">
        <v>2</v>
      </c>
      <c r="B2" s="9" t="s">
        <v>4</v>
      </c>
      <c r="C2" s="9" t="s">
        <v>3</v>
      </c>
    </row>
    <row r="3" spans="1:12" x14ac:dyDescent="0.3">
      <c r="A3" s="10" t="s">
        <v>8</v>
      </c>
      <c r="B3" s="10">
        <v>90</v>
      </c>
      <c r="C3" s="10">
        <v>100</v>
      </c>
    </row>
    <row r="4" spans="1:12" x14ac:dyDescent="0.3">
      <c r="A4" s="11" t="s">
        <v>9</v>
      </c>
      <c r="B4" s="11">
        <v>78</v>
      </c>
      <c r="C4" s="11">
        <v>100</v>
      </c>
    </row>
    <row r="5" spans="1:12" x14ac:dyDescent="0.3">
      <c r="A5" s="10" t="s">
        <v>10</v>
      </c>
      <c r="B5" s="10">
        <v>75</v>
      </c>
      <c r="C5" s="10">
        <v>100</v>
      </c>
    </row>
    <row r="6" spans="1:12" x14ac:dyDescent="0.3">
      <c r="A6" s="11" t="s">
        <v>11</v>
      </c>
      <c r="B6" s="11">
        <v>65</v>
      </c>
      <c r="C6" s="11">
        <v>100</v>
      </c>
    </row>
    <row r="7" spans="1:12" x14ac:dyDescent="0.3">
      <c r="A7" s="10" t="s">
        <v>12</v>
      </c>
      <c r="B7" s="10">
        <v>76</v>
      </c>
      <c r="C7" s="10">
        <v>100</v>
      </c>
    </row>
    <row r="8" spans="1:12" x14ac:dyDescent="0.3">
      <c r="A8" s="11" t="s">
        <v>13</v>
      </c>
      <c r="B8" s="11">
        <v>54</v>
      </c>
      <c r="C8" s="11">
        <v>100</v>
      </c>
    </row>
    <row r="9" spans="1:12" x14ac:dyDescent="0.3">
      <c r="A9" s="10" t="s">
        <v>14</v>
      </c>
      <c r="B9" s="10">
        <v>78</v>
      </c>
      <c r="C9" s="10">
        <v>100</v>
      </c>
    </row>
    <row r="10" spans="1:12" x14ac:dyDescent="0.3">
      <c r="A10" s="11" t="s">
        <v>15</v>
      </c>
      <c r="B10" s="11">
        <v>68</v>
      </c>
      <c r="C10" s="11">
        <v>100</v>
      </c>
    </row>
    <row r="11" spans="1:12" x14ac:dyDescent="0.3">
      <c r="A11" s="10" t="s">
        <v>16</v>
      </c>
      <c r="B11" s="10">
        <v>74</v>
      </c>
      <c r="C11" s="10">
        <v>100</v>
      </c>
    </row>
    <row r="12" spans="1:12" x14ac:dyDescent="0.3">
      <c r="A12" s="11" t="s">
        <v>17</v>
      </c>
      <c r="B12" s="11">
        <v>79</v>
      </c>
      <c r="C12" s="11">
        <v>100</v>
      </c>
    </row>
    <row r="13" spans="1:12" x14ac:dyDescent="0.3">
      <c r="A13" s="10" t="s">
        <v>18</v>
      </c>
      <c r="B13" s="10">
        <v>83</v>
      </c>
      <c r="C13" s="10">
        <v>100</v>
      </c>
    </row>
    <row r="14" spans="1:12" x14ac:dyDescent="0.3">
      <c r="A14" s="11" t="s">
        <v>19</v>
      </c>
      <c r="B14" s="11">
        <v>72</v>
      </c>
      <c r="C14" s="11">
        <v>100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Grades</vt:lpstr>
      <vt:lpstr>Attendance</vt:lpstr>
      <vt:lpstr>Performance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Pranav Shirure</cp:lastModifiedBy>
  <cp:revision>1</cp:revision>
  <dcterms:created xsi:type="dcterms:W3CDTF">2026-04-07T15:59:13Z</dcterms:created>
  <dcterms:modified xsi:type="dcterms:W3CDTF">2026-04-07T16:58:07Z</dcterms:modified>
  <dc:language>en-US</dc:language>
</cp:coreProperties>
</file>